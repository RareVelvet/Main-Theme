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tart Here" sheetId="2" state="visible" r:id="rId2"/>
    <sheet name="Monthly Spending" sheetId="3" state="visible" r:id="rId3"/>
    <sheet name="Net Worth" sheetId="4" state="visible" r:id="rId4"/>
    <sheet name="Net Worth Log" sheetId="5" state="visible" r:id="rId5"/>
    <sheet name="Freedom Number" sheetId="6" state="visible" r:id="rId6"/>
    <sheet name="Freedom Timeline" sheetId="7" state="visible" r:id="rId7"/>
    <sheet name="Debts" sheetId="8" state="visible" r:id="rId8"/>
    <sheet name="Annual Vision" sheetId="9" state="visible" r:id="rId9"/>
    <sheet name="Monthly Review" sheetId="10" state="visible" r:id="rId10"/>
    <sheet name="Quarterly Review" sheetId="11" state="visible" r:id="rId11"/>
    <sheet name="Reflection Prompts" sheetId="12" state="visible" r:id="rId12"/>
  </sheets>
  <definedNames>
    <definedName name="Name">'Start Here'!$C$5</definedName>
    <definedName name="Currency">'Start Here'!$C$6</definedName>
    <definedName name="Year">'Start Here'!$C$7</definedName>
    <definedName name="Age">'Start Here'!$C$8</definedName>
    <definedName name="IncomeGross">'Start Here'!$C$9</definedName>
    <definedName name="IncomeNet">'Start Here'!$C$10</definedName>
    <definedName name="AnnualExpenses">'Start Here'!$C$11</definedName>
    <definedName name="PassiveIncome">'Start Here'!$C$12</definedName>
    <definedName name="Multiplier">'Start Here'!$C$13</definedName>
    <definedName name="ReturnRate">'Start Here'!$C$14</definedName>
    <definedName name="MonthlyInvested">'Start Here'!$C$15</definedName>
    <definedName name="BreatheMonthly">'Start Here'!$C$16</definedName>
    <definedName name="FreedomNumber">'Start Here'!$F$5</definedName>
    <definedName name="NetWorth">'Net Worth'!$B$24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₹&quot;#,##0"/>
    <numFmt numFmtId="165" formatCode="0.0"/>
    <numFmt numFmtId="166" formatCode="0.0%"/>
  </numFmts>
  <fonts count="10">
    <font>
      <name val="Calibri"/>
      <family val="2"/>
      <color theme="1"/>
      <sz val="11"/>
      <scheme val="minor"/>
    </font>
    <font>
      <name val="Georgia"/>
      <b val="1"/>
      <color rgb="003A342B"/>
      <sz val="18"/>
    </font>
    <font>
      <name val="Georgia"/>
      <i val="1"/>
      <color rgb="008C8475"/>
      <sz val="11"/>
    </font>
    <font>
      <name val="Georgia"/>
      <b val="1"/>
      <color rgb="003A342B"/>
      <sz val="14"/>
    </font>
    <font>
      <name val="Calibri"/>
      <color rgb="003A342B"/>
      <sz val="11"/>
    </font>
    <font>
      <name val="Calibri"/>
      <color rgb="008C8475"/>
      <sz val="10"/>
    </font>
    <font>
      <name val="Georgia"/>
      <b val="1"/>
      <color rgb="003A342B"/>
      <sz val="11"/>
    </font>
    <font>
      <name val="Calibri"/>
      <b val="1"/>
      <color rgb="003A342B"/>
      <sz val="11"/>
    </font>
    <font>
      <name val="Consolas"/>
      <b val="1"/>
      <color rgb="003A342B"/>
      <sz val="16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E0C994"/>
      </patternFill>
    </fill>
    <fill>
      <patternFill patternType="solid">
        <fgColor rgb="00F2E6C9"/>
      </patternFill>
    </fill>
    <fill>
      <patternFill patternType="solid">
        <fgColor rgb="00FAF7F1"/>
      </patternFill>
    </fill>
    <fill>
      <patternFill patternType="solid">
        <fgColor rgb="003A342B"/>
      </patternFill>
    </fill>
    <fill>
      <patternFill patternType="solid">
        <fgColor rgb="00BCC8D8"/>
      </patternFill>
    </fill>
    <fill>
      <patternFill patternType="solid">
        <fgColor rgb="00C2D2B9"/>
      </patternFill>
    </fill>
    <fill>
      <patternFill patternType="solid">
        <fgColor rgb="00E3C7BD"/>
      </patternFill>
    </fill>
  </fills>
  <borders count="3">
    <border>
      <left/>
      <right/>
      <top/>
      <bottom/>
      <diagonal/>
    </border>
    <border>
      <left style="thin">
        <color rgb="00E8E0D3"/>
      </left>
      <right style="thin">
        <color rgb="00E8E0D3"/>
      </right>
      <top style="thin">
        <color rgb="00E8E0D3"/>
      </top>
      <bottom style="thin">
        <color rgb="00E8E0D3"/>
      </bottom>
    </border>
    <border>
      <bottom style="thin">
        <color rgb="00E8E0D3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0" fontId="7" fillId="3" borderId="1" applyAlignment="1" applyProtection="1" pivotButton="0" quotePrefix="0" xfId="0">
      <alignment horizontal="right" vertical="center"/>
      <protection locked="0" hidden="0"/>
    </xf>
    <xf numFmtId="164" fontId="8" fillId="4" borderId="1" applyAlignment="1" pivotButton="0" quotePrefix="0" xfId="0">
      <alignment horizontal="right" vertical="center"/>
    </xf>
    <xf numFmtId="1" fontId="7" fillId="3" borderId="1" applyAlignment="1" applyProtection="1" pivotButton="0" quotePrefix="0" xfId="0">
      <alignment horizontal="right" vertical="center"/>
      <protection locked="0" hidden="0"/>
    </xf>
    <xf numFmtId="164" fontId="7" fillId="3" borderId="1" applyAlignment="1" applyProtection="1" pivotButton="0" quotePrefix="0" xfId="0">
      <alignment horizontal="right" vertical="center"/>
      <protection locked="0" hidden="0"/>
    </xf>
    <xf numFmtId="1" fontId="8" fillId="4" borderId="1" applyAlignment="1" pivotButton="0" quotePrefix="0" xfId="0">
      <alignment horizontal="right" vertical="center"/>
    </xf>
    <xf numFmtId="165" fontId="7" fillId="3" borderId="1" applyAlignment="1" applyProtection="1" pivotButton="0" quotePrefix="0" xfId="0">
      <alignment horizontal="right" vertical="center"/>
      <protection locked="0" hidden="0"/>
    </xf>
    <xf numFmtId="0" fontId="9" fillId="5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1" fontId="4" fillId="3" borderId="1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6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3" fillId="0" borderId="0" applyAlignment="1" pivotButton="0" quotePrefix="0" xfId="0">
      <alignment horizontal="left" vertical="center"/>
    </xf>
    <xf numFmtId="164" fontId="8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66" fontId="8" fillId="0" borderId="1" applyAlignment="1" pivotButton="0" quotePrefix="0" xfId="0">
      <alignment horizontal="right" vertical="center"/>
    </xf>
    <xf numFmtId="0" fontId="4" fillId="3" borderId="1" applyAlignment="1" applyProtection="1" pivotButton="0" quotePrefix="0" xfId="0">
      <alignment horizontal="left" vertical="center"/>
      <protection locked="0" hidden="0"/>
    </xf>
    <xf numFmtId="164" fontId="4" fillId="3" borderId="1" applyAlignment="1" applyProtection="1" pivotButton="0" quotePrefix="0" xfId="0">
      <alignment horizontal="right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164" fontId="8" fillId="2" borderId="1" applyAlignment="1" pivotButton="0" quotePrefix="0" xfId="0">
      <alignment horizontal="right" vertical="center"/>
    </xf>
    <xf numFmtId="166" fontId="8" fillId="4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4" fontId="4" fillId="0" borderId="0" applyAlignment="1" pivotButton="0" quotePrefix="0" xfId="0">
      <alignment horizontal="left" vertical="center"/>
    </xf>
    <xf numFmtId="165" fontId="4" fillId="3" borderId="1" applyAlignment="1" applyProtection="1" pivotButton="0" quotePrefix="0" xfId="0">
      <alignment horizontal="right" vertical="center"/>
      <protection locked="0" hidden="0"/>
    </xf>
    <xf numFmtId="1" fontId="4" fillId="0" borderId="1" applyAlignment="1" pivotButton="0" quotePrefix="0" xfId="0">
      <alignment horizontal="right" vertical="center"/>
    </xf>
    <xf numFmtId="0" fontId="4" fillId="3" borderId="1" applyAlignment="1" applyProtection="1" pivotButton="0" quotePrefix="0" xfId="0">
      <alignment horizontal="left" vertical="top" wrapText="1"/>
      <protection locked="0" hidden="0"/>
    </xf>
  </cellXfs>
  <cellStyles count="1">
    <cellStyle name="Normal" xfId="0" builtinId="0" hidden="0"/>
  </cellStyles>
  <dxfs count="4">
    <dxf>
      <font>
        <name val="Calibri"/>
        <b val="1"/>
        <color rgb="00C0392B"/>
      </font>
    </dxf>
    <dxf>
      <font>
        <name val="Calibri"/>
        <b val="1"/>
        <color rgb="002E7D4F"/>
      </font>
    </dxf>
    <dxf>
      <fill>
        <patternFill patternType="solid">
          <fgColor rgb="00E3C7BD"/>
        </patternFill>
      </fill>
    </dxf>
    <dxf>
      <fill>
        <patternFill patternType="solid">
          <fgColor rgb="00E0C99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Net worth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'Net Worth Log'!B3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'Net Worth Log'!$A$4:$A$34</f>
            </numRef>
          </cat>
          <val>
            <numRef>
              <f>'Net Worth Log'!$B$4:$B$34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₹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Projected balance vs. Freedom Number</a:t>
            </a:r>
          </a:p>
        </rich>
      </tx>
    </title>
    <plotArea>
      <lineChart>
        <grouping val="standard"/>
        <ser>
          <idx val="0"/>
          <order val="0"/>
          <tx>
            <strRef>
              <f>'Freedom Timeline'!F3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'Freedom Timeline'!$A$4:$A$33</f>
            </numRef>
          </cat>
          <val>
            <numRef>
              <f>'Freedom Timeline'!$F$4:$F$33</f>
            </numRef>
          </val>
        </ser>
        <ser>
          <idx val="1"/>
          <order val="1"/>
          <tx>
            <strRef>
              <f>'Freedom Timeline'!H3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'Freedom Timeline'!$A$4:$A$33</f>
            </numRef>
          </cat>
          <val>
            <numRef>
              <f>'Freedom Timeline'!$H$4:$H$33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₹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 ht="26" customHeight="1">
      <c r="B1" s="1" t="inlineStr">
        <is>
          <t>Intentional Budget Tracker</t>
        </is>
      </c>
    </row>
    <row r="2" ht="18" customHeight="1">
      <c r="B2" s="2" t="inlineStr">
        <is>
          <t>A calm, formula-driven money workbook — type your numbers, watch your future update.</t>
        </is>
      </c>
    </row>
    <row r="4" ht="24" customHeight="1">
      <c r="B4" s="3" t="inlineStr">
        <is>
          <t>How to use this workbook</t>
        </is>
      </c>
    </row>
    <row r="5" ht="18" customHeight="1">
      <c r="B5" s="4" t="inlineStr">
        <is>
          <t>1.  Open the “Start Here” tab and replace every honey-shaded cell with your own numbers.</t>
        </is>
      </c>
    </row>
    <row r="6" ht="18" customHeight="1">
      <c r="B6" s="4" t="inlineStr">
        <is>
          <t>2.  Everything else recalculates automatically — Freedom Number, savings rate, net worth, timeline.</t>
        </is>
      </c>
    </row>
    <row r="7" ht="18" customHeight="1">
      <c r="B7" s="4" t="inlineStr">
        <is>
          <t>3.  Work through the tabs left to right. Only the honey-shaded cells are meant to be edited.</t>
        </is>
      </c>
    </row>
    <row r="8" ht="18" customHeight="1">
      <c r="B8" s="4" t="inlineStr">
        <is>
          <t>4.  Once a month, update “Monthly Spending” actuals and add a row to “Net Worth Log”.</t>
        </is>
      </c>
    </row>
    <row r="9" ht="6" customHeight="1">
      <c r="B9" t="inlineStr"/>
    </row>
    <row r="10" ht="24" customHeight="1">
      <c r="B10" s="3" t="inlineStr">
        <is>
          <t>What the tabs do</t>
        </is>
      </c>
    </row>
    <row r="11" ht="18" customHeight="1">
      <c r="B11" s="4" t="inlineStr">
        <is>
          <t>• Start Here — all your inputs + your headline numbers.</t>
        </is>
      </c>
    </row>
    <row r="12" ht="18" customHeight="1">
      <c r="B12" s="4" t="inlineStr">
        <is>
          <t>• Monthly Spending — your Conscious Spending Plan (budget vs. actual, savings rate).</t>
        </is>
      </c>
    </row>
    <row r="13" ht="18" customHeight="1">
      <c r="B13" s="4" t="inlineStr">
        <is>
          <t>• Net Worth — assets minus liabilities, and where your money lives.</t>
        </is>
      </c>
    </row>
    <row r="14" ht="18" customHeight="1">
      <c r="B14" s="4" t="inlineStr">
        <is>
          <t>• Net Worth Log — one row per month; the chart shows your growth.</t>
        </is>
      </c>
    </row>
    <row r="15" ht="18" customHeight="1">
      <c r="B15" s="4" t="inlineStr">
        <is>
          <t>• Freedom Number — the number that means work becomes optional.</t>
        </is>
      </c>
    </row>
    <row r="16" ht="18" customHeight="1">
      <c r="B16" s="4" t="inlineStr">
        <is>
          <t>• Freedom Timeline — a 30-year projection and your work-optional year.</t>
        </is>
      </c>
    </row>
    <row r="17" ht="18" customHeight="1">
      <c r="B17" s="4" t="inlineStr">
        <is>
          <t>• Debts — payoff months, interest, and what an extra $200/mo saves you.</t>
        </is>
      </c>
    </row>
    <row r="18" ht="18" customHeight="1">
      <c r="B18" s="4" t="inlineStr">
        <is>
          <t>• Annual Vision / Reviews / Reflection — space to think, not just track.</t>
        </is>
      </c>
    </row>
    <row r="19" ht="6" customHeight="1">
      <c r="B19" t="inlineStr"/>
    </row>
    <row r="20" ht="24" customHeight="1">
      <c r="B20" s="3" t="inlineStr">
        <is>
          <t>Good habits</t>
        </is>
      </c>
    </row>
    <row r="21" ht="18" customHeight="1">
      <c r="B21" s="4" t="inlineStr">
        <is>
          <t>• Use NET (take-home) income for budgeting, GROSS only for context.</t>
        </is>
      </c>
    </row>
    <row r="22" ht="18" customHeight="1">
      <c r="B22" s="4" t="inlineStr">
        <is>
          <t>• Budget every dollar: aim to get “Left to assign” on Monthly Spending to $0.</t>
        </is>
      </c>
    </row>
    <row r="23" ht="18" customHeight="1">
      <c r="B23" s="4" t="inlineStr">
        <is>
          <t>• Update actuals weekly so the month never surprises you.</t>
        </is>
      </c>
    </row>
    <row r="24" ht="18" customHeight="1">
      <c r="B24" s="4" t="inlineStr">
        <is>
          <t>• Log net worth the same day each month — consistency beats precision.</t>
        </is>
      </c>
    </row>
    <row r="25" ht="18" customHeight="1">
      <c r="B25" s="4" t="inlineStr">
        <is>
          <t>• Be honest in Guilt-Free Spending; the goal is intention, not guilt.</t>
        </is>
      </c>
    </row>
    <row r="26" ht="6" customHeight="1">
      <c r="B26" t="inlineStr"/>
    </row>
    <row r="27" ht="46" customHeight="1">
      <c r="B27" s="5" t="inlineStr">
        <is>
          <t>Tip: cells with formulas are locked so you can’t break them by accident. Only the honey-shaded inputs are editable. To unlock everything, choose Review ▸ Unprotect Sheet (there is no password).</t>
        </is>
      </c>
    </row>
  </sheetData>
  <mergeCells count="2">
    <mergeCell ref="B1"/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3" customWidth="1" min="4" max="4"/>
    <col width="34" customWidth="1" min="5" max="5"/>
    <col width="18" customWidth="1" min="6" max="6"/>
  </cols>
  <sheetData>
    <row r="1" ht="26" customHeight="1">
      <c r="B1" s="1" t="inlineStr">
        <is>
          <t>Start Here</t>
        </is>
      </c>
    </row>
    <row r="2" ht="18" customHeight="1">
      <c r="B2" s="2" t="inlineStr">
        <is>
          <t>Type your numbers in the honey cells. Everything else updates itself.</t>
        </is>
      </c>
    </row>
    <row r="4" ht="20" customHeight="1">
      <c r="B4" s="6" t="inlineStr">
        <is>
          <t>YOUR INPUTS</t>
        </is>
      </c>
      <c r="C4" s="7" t="n"/>
      <c r="E4" s="6" t="inlineStr">
        <is>
          <t>YOUR NUMBERS</t>
        </is>
      </c>
      <c r="F4" s="7" t="n"/>
    </row>
    <row r="5" ht="26" customHeight="1">
      <c r="B5" s="8" t="inlineStr">
        <is>
          <t>Your name</t>
        </is>
      </c>
      <c r="C5" s="9" t="inlineStr">
        <is>
          <t>Friend</t>
        </is>
      </c>
      <c r="E5" s="8" t="inlineStr">
        <is>
          <t>Freedom Number</t>
        </is>
      </c>
      <c r="F5" s="10">
        <f>(AnnualExpenses-PassiveIncome)*Multiplier</f>
        <v/>
      </c>
    </row>
    <row r="6">
      <c r="B6" s="8" t="inlineStr">
        <is>
          <t>Currency symbol</t>
        </is>
      </c>
      <c r="C6" s="9" t="inlineStr">
        <is>
          <t>₹</t>
        </is>
      </c>
    </row>
    <row r="7" ht="26" customHeight="1">
      <c r="B7" s="8" t="inlineStr">
        <is>
          <t>Planning year</t>
        </is>
      </c>
      <c r="C7" s="11" t="n">
        <v>2026</v>
      </c>
      <c r="E7" s="8" t="inlineStr">
        <is>
          <t>Monthly freedom income</t>
        </is>
      </c>
      <c r="F7" s="10">
        <f>AnnualExpenses/12</f>
        <v/>
      </c>
    </row>
    <row r="8">
      <c r="B8" s="8" t="inlineStr">
        <is>
          <t>Your age</t>
        </is>
      </c>
      <c r="C8" s="11" t="n">
        <v>38</v>
      </c>
    </row>
    <row r="9" ht="26" customHeight="1">
      <c r="B9" s="8" t="inlineStr">
        <is>
          <t>Monthly gross income</t>
        </is>
      </c>
      <c r="C9" s="12" t="n">
        <v>9500</v>
      </c>
      <c r="E9" s="8" t="inlineStr">
        <is>
          <t>Breathing Number (monthly)</t>
        </is>
      </c>
      <c r="F9" s="10">
        <f>BreatheMonthly</f>
        <v/>
      </c>
    </row>
    <row r="10">
      <c r="B10" s="8" t="inlineStr">
        <is>
          <t>Monthly net (take-home)</t>
        </is>
      </c>
      <c r="C10" s="12" t="n">
        <v>6800</v>
      </c>
    </row>
    <row r="11" ht="26" customHeight="1">
      <c r="B11" s="8" t="inlineStr">
        <is>
          <t>Ideal annual expenses</t>
        </is>
      </c>
      <c r="C11" s="12" t="n">
        <v>48000</v>
      </c>
      <c r="E11" s="8" t="inlineStr">
        <is>
          <t>Breathing asset base</t>
        </is>
      </c>
      <c r="F11" s="10">
        <f>BreatheMonthly*12*Multiplier</f>
        <v/>
      </c>
    </row>
    <row r="12">
      <c r="B12" s="8" t="inlineStr">
        <is>
          <t>Passive income (net, annual)</t>
        </is>
      </c>
      <c r="C12" s="12" t="n">
        <v>6000</v>
      </c>
    </row>
    <row r="13" ht="26" customHeight="1">
      <c r="B13" s="8" t="inlineStr">
        <is>
          <t>Multiplier (25/28/30/33)</t>
        </is>
      </c>
      <c r="C13" s="11" t="n">
        <v>25</v>
      </c>
      <c r="E13" s="8" t="inlineStr">
        <is>
          <t>Work-optional year</t>
        </is>
      </c>
      <c r="F13" s="13">
        <f>IFERROR(Year+CEILING(NPER(ReturnRate/100/12,-MonthlyInvested,-NetWorth,FreedomNumber)/12,1),Year)</f>
        <v/>
      </c>
    </row>
    <row r="14">
      <c r="B14" s="8" t="inlineStr">
        <is>
          <t>Expected real return (%)</t>
        </is>
      </c>
      <c r="C14" s="14" t="n">
        <v>6</v>
      </c>
    </row>
    <row r="15">
      <c r="B15" s="8" t="inlineStr">
        <is>
          <t>Monthly invested</t>
        </is>
      </c>
      <c r="C15" s="12" t="n">
        <v>1200</v>
      </c>
    </row>
    <row r="16">
      <c r="B16" s="8" t="inlineStr">
        <is>
          <t>Breathing monthly income</t>
        </is>
      </c>
      <c r="C16" s="12" t="n">
        <v>3200</v>
      </c>
    </row>
    <row r="18" ht="30" customHeight="1">
      <c r="B18" s="5" t="inlineStr">
        <is>
          <t>Multiplier rule of thumb: 25 = the classic 4% rule, 33 ≈ a safer 3%. “Real return” already subtracts inflation — 6% is a reasonable long-run stock/bond blend.</t>
        </is>
      </c>
    </row>
    <row r="19"/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5">
    <mergeCell ref="E4:F4"/>
    <mergeCell ref="B2:F2"/>
    <mergeCell ref="B1:F1"/>
    <mergeCell ref="B4:C4"/>
    <mergeCell ref="B18:F19"/>
  </mergeCells>
  <dataValidations count="2">
    <dataValidation sqref="C13" showDropDown="0" showInputMessage="0" showErrorMessage="0" allowBlank="0" type="list">
      <formula1>"25,28,30,33"</formula1>
    </dataValidation>
    <dataValidation sqref="C6" showDropDown="0" showInputMessage="0" showErrorMessage="0" allowBlank="0" type="list">
      <formula1>"$,£,€,¥,₹,R$,kr,CHF"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1" customWidth="1" min="5" max="5"/>
    <col width="13" customWidth="1" min="6" max="6"/>
    <col width="10" customWidth="1" min="7" max="7"/>
  </cols>
  <sheetData>
    <row r="1" ht="26" customHeight="1">
      <c r="A1" s="1" t="inlineStr">
        <is>
          <t>Monthly Spending</t>
        </is>
      </c>
    </row>
    <row r="2" ht="18" customHeight="1">
      <c r="A2" s="2" t="inlineStr">
        <is>
          <t>Your Conscious Spending Plan — give every dollar a job.</t>
        </is>
      </c>
    </row>
    <row r="3">
      <c r="A3" s="15" t="inlineStr">
        <is>
          <t>Category</t>
        </is>
      </c>
      <c r="B3" s="15" t="inlineStr">
        <is>
          <t>Budget</t>
        </is>
      </c>
      <c r="C3" s="15" t="inlineStr">
        <is>
          <t>Actual</t>
        </is>
      </c>
      <c r="D3" s="15" t="inlineStr">
        <is>
          <t>Variance</t>
        </is>
      </c>
      <c r="E3" s="15" t="inlineStr">
        <is>
          <t>% of Net</t>
        </is>
      </c>
      <c r="F3" s="15" t="inlineStr">
        <is>
          <t>Status</t>
        </is>
      </c>
      <c r="G3" s="15" t="inlineStr">
        <is>
          <t>Due day</t>
        </is>
      </c>
    </row>
    <row r="4" ht="20" customHeight="1">
      <c r="A4" s="16" t="inlineStr">
        <is>
          <t>FIXED COSTS</t>
        </is>
      </c>
      <c r="B4" s="17" t="n"/>
      <c r="C4" s="17" t="n"/>
      <c r="D4" s="17" t="n"/>
      <c r="E4" s="17" t="n"/>
      <c r="F4" s="17" t="n"/>
      <c r="G4" s="17" t="n"/>
    </row>
    <row r="5">
      <c r="A5" s="18" t="inlineStr">
        <is>
          <t>Rent / Mortgage</t>
        </is>
      </c>
      <c r="B5" s="12" t="n">
        <v>1650</v>
      </c>
      <c r="C5" s="12" t="n">
        <v>1650</v>
      </c>
      <c r="D5" s="19">
        <f>C5-B5</f>
        <v/>
      </c>
      <c r="E5" s="20">
        <f>IF(IncomeNet=0,0,C5/IncomeNet)</f>
        <v/>
      </c>
      <c r="F5" s="21">
        <f>IF(C5&gt;B5,"Over","On plan")</f>
        <v/>
      </c>
      <c r="G5" s="22" t="n">
        <v>1</v>
      </c>
    </row>
    <row r="6">
      <c r="A6" s="18" t="inlineStr">
        <is>
          <t>Utilities</t>
        </is>
      </c>
      <c r="B6" s="12" t="n">
        <v>145</v>
      </c>
      <c r="C6" s="12" t="n">
        <v>162</v>
      </c>
      <c r="D6" s="19">
        <f>C6-B6</f>
        <v/>
      </c>
      <c r="E6" s="20">
        <f>IF(IncomeNet=0,0,C6/IncomeNet)</f>
        <v/>
      </c>
      <c r="F6" s="21">
        <f>IF(C6&gt;B6,"Over","On plan")</f>
        <v/>
      </c>
      <c r="G6" s="22" t="n">
        <v>5</v>
      </c>
    </row>
    <row r="7">
      <c r="A7" s="18" t="inlineStr">
        <is>
          <t>Health insurance</t>
        </is>
      </c>
      <c r="B7" s="12" t="n">
        <v>285</v>
      </c>
      <c r="C7" s="12" t="n">
        <v>285</v>
      </c>
      <c r="D7" s="19">
        <f>C7-B7</f>
        <v/>
      </c>
      <c r="E7" s="20">
        <f>IF(IncomeNet=0,0,C7/IncomeNet)</f>
        <v/>
      </c>
      <c r="F7" s="21">
        <f>IF(C7&gt;B7,"Over","On plan")</f>
        <v/>
      </c>
      <c r="G7" s="22" t="n">
        <v>1</v>
      </c>
    </row>
    <row r="8">
      <c r="A8" s="18" t="inlineStr">
        <is>
          <t>Groceries</t>
        </is>
      </c>
      <c r="B8" s="12" t="n">
        <v>620</v>
      </c>
      <c r="C8" s="12" t="n">
        <v>648</v>
      </c>
      <c r="D8" s="19">
        <f>C8-B8</f>
        <v/>
      </c>
      <c r="E8" s="20">
        <f>IF(IncomeNet=0,0,C8/IncomeNet)</f>
        <v/>
      </c>
      <c r="F8" s="21">
        <f>IF(C8&gt;B8,"Over","On plan")</f>
        <v/>
      </c>
      <c r="G8" s="22" t="n">
        <v>0</v>
      </c>
    </row>
    <row r="9">
      <c r="A9" s="18" t="inlineStr">
        <is>
          <t>Car payment</t>
        </is>
      </c>
      <c r="B9" s="12" t="n">
        <v>380</v>
      </c>
      <c r="C9" s="12" t="n">
        <v>380</v>
      </c>
      <c r="D9" s="19">
        <f>C9-B9</f>
        <v/>
      </c>
      <c r="E9" s="20">
        <f>IF(IncomeNet=0,0,C9/IncomeNet)</f>
        <v/>
      </c>
      <c r="F9" s="21">
        <f>IF(C9&gt;B9,"Over","On plan")</f>
        <v/>
      </c>
      <c r="G9" s="22" t="n">
        <v>10</v>
      </c>
    </row>
    <row r="10">
      <c r="A10" s="18" t="inlineStr">
        <is>
          <t>Subscriptions</t>
        </is>
      </c>
      <c r="B10" s="12" t="n">
        <v>85</v>
      </c>
      <c r="C10" s="12" t="n">
        <v>95</v>
      </c>
      <c r="D10" s="19">
        <f>C10-B10</f>
        <v/>
      </c>
      <c r="E10" s="20">
        <f>IF(IncomeNet=0,0,C10/IncomeNet)</f>
        <v/>
      </c>
      <c r="F10" s="21">
        <f>IF(C10&gt;B10,"Over","On plan")</f>
        <v/>
      </c>
      <c r="G10" s="22" t="n">
        <v>15</v>
      </c>
    </row>
    <row r="11">
      <c r="A11" s="23" t="inlineStr">
        <is>
          <t xml:space="preserve">  Subtotal — Fixed Costs</t>
        </is>
      </c>
      <c r="B11" s="24">
        <f>SUM(B5:B10)</f>
        <v/>
      </c>
      <c r="C11" s="24">
        <f>SUM(C5:C10)</f>
        <v/>
      </c>
      <c r="D11" s="24">
        <f>C11-B11</f>
        <v/>
      </c>
      <c r="E11" s="25">
        <f>IF(IncomeNet=0,0,C11/IncomeNet)</f>
        <v/>
      </c>
    </row>
    <row r="13" ht="20" customHeight="1">
      <c r="A13" s="26" t="inlineStr">
        <is>
          <t>INVESTMENTS</t>
        </is>
      </c>
      <c r="B13" s="27" t="n"/>
      <c r="C13" s="27" t="n"/>
      <c r="D13" s="27" t="n"/>
      <c r="E13" s="27" t="n"/>
      <c r="F13" s="27" t="n"/>
      <c r="G13" s="27" t="n"/>
    </row>
    <row r="14">
      <c r="A14" s="18" t="inlineStr">
        <is>
          <t>401(k) contribution</t>
        </is>
      </c>
      <c r="B14" s="12" t="n">
        <v>700</v>
      </c>
      <c r="C14" s="12" t="n">
        <v>700</v>
      </c>
      <c r="D14" s="19">
        <f>C14-B14</f>
        <v/>
      </c>
      <c r="E14" s="20">
        <f>IF(IncomeNet=0,0,C14/IncomeNet)</f>
        <v/>
      </c>
      <c r="F14" s="21">
        <f>IF(C14&gt;B14,"Over","On plan")</f>
        <v/>
      </c>
      <c r="G14" s="22" t="n">
        <v>1</v>
      </c>
    </row>
    <row r="15">
      <c r="A15" s="18" t="inlineStr">
        <is>
          <t>Roth IRA</t>
        </is>
      </c>
      <c r="B15" s="12" t="n">
        <v>500</v>
      </c>
      <c r="C15" s="12" t="n">
        <v>500</v>
      </c>
      <c r="D15" s="19">
        <f>C15-B15</f>
        <v/>
      </c>
      <c r="E15" s="20">
        <f>IF(IncomeNet=0,0,C15/IncomeNet)</f>
        <v/>
      </c>
      <c r="F15" s="21">
        <f>IF(C15&gt;B15,"Over","On plan")</f>
        <v/>
      </c>
      <c r="G15" s="22" t="n">
        <v>1</v>
      </c>
    </row>
    <row r="16">
      <c r="A16" s="23" t="inlineStr">
        <is>
          <t xml:space="preserve">  Subtotal — Investments</t>
        </is>
      </c>
      <c r="B16" s="24">
        <f>SUM(B14:B15)</f>
        <v/>
      </c>
      <c r="C16" s="24">
        <f>SUM(C14:C15)</f>
        <v/>
      </c>
      <c r="D16" s="24">
        <f>C16-B16</f>
        <v/>
      </c>
      <c r="E16" s="25">
        <f>IF(IncomeNet=0,0,C16/IncomeNet)</f>
        <v/>
      </c>
    </row>
    <row r="18" ht="20" customHeight="1">
      <c r="A18" s="6" t="inlineStr">
        <is>
          <t>SAVINGS GOALS</t>
        </is>
      </c>
      <c r="B18" s="7" t="n"/>
      <c r="C18" s="7" t="n"/>
      <c r="D18" s="7" t="n"/>
      <c r="E18" s="7" t="n"/>
      <c r="F18" s="7" t="n"/>
      <c r="G18" s="7" t="n"/>
    </row>
    <row r="19">
      <c r="A19" s="18" t="inlineStr">
        <is>
          <t>Emergency fund</t>
        </is>
      </c>
      <c r="B19" s="12" t="n">
        <v>200</v>
      </c>
      <c r="C19" s="12" t="n">
        <v>200</v>
      </c>
      <c r="D19" s="19">
        <f>C19-B19</f>
        <v/>
      </c>
      <c r="E19" s="20">
        <f>IF(IncomeNet=0,0,C19/IncomeNet)</f>
        <v/>
      </c>
      <c r="F19" s="21">
        <f>IF(C19&gt;=B19,"On goal ✓","Short")</f>
        <v/>
      </c>
      <c r="G19" s="22" t="n">
        <v>1</v>
      </c>
    </row>
    <row r="20">
      <c r="A20" s="18" t="inlineStr">
        <is>
          <t>Vacation fund</t>
        </is>
      </c>
      <c r="B20" s="12" t="n">
        <v>150</v>
      </c>
      <c r="C20" s="12" t="n">
        <v>150</v>
      </c>
      <c r="D20" s="19">
        <f>C20-B20</f>
        <v/>
      </c>
      <c r="E20" s="20">
        <f>IF(IncomeNet=0,0,C20/IncomeNet)</f>
        <v/>
      </c>
      <c r="F20" s="21">
        <f>IF(C20&gt;=B20,"On goal ✓","Short")</f>
        <v/>
      </c>
      <c r="G20" s="22" t="n">
        <v>1</v>
      </c>
    </row>
    <row r="21">
      <c r="A21" s="23" t="inlineStr">
        <is>
          <t xml:space="preserve">  Subtotal — Savings Goals</t>
        </is>
      </c>
      <c r="B21" s="24">
        <f>SUM(B19:B20)</f>
        <v/>
      </c>
      <c r="C21" s="24">
        <f>SUM(C19:C20)</f>
        <v/>
      </c>
      <c r="D21" s="24">
        <f>C21-B21</f>
        <v/>
      </c>
      <c r="E21" s="25">
        <f>IF(IncomeNet=0,0,C21/IncomeNet)</f>
        <v/>
      </c>
    </row>
    <row r="23" ht="20" customHeight="1">
      <c r="A23" s="28" t="inlineStr">
        <is>
          <t>GUILT-FREE SPENDING</t>
        </is>
      </c>
      <c r="B23" s="29" t="n"/>
      <c r="C23" s="29" t="n"/>
      <c r="D23" s="29" t="n"/>
      <c r="E23" s="29" t="n"/>
      <c r="F23" s="29" t="n"/>
      <c r="G23" s="29" t="n"/>
    </row>
    <row r="24">
      <c r="A24" s="18" t="inlineStr">
        <is>
          <t>Dining out</t>
        </is>
      </c>
      <c r="B24" s="12" t="n">
        <v>380</v>
      </c>
      <c r="C24" s="12" t="n">
        <v>428</v>
      </c>
      <c r="D24" s="19">
        <f>C24-B24</f>
        <v/>
      </c>
      <c r="E24" s="20">
        <f>IF(IncomeNet=0,0,C24/IncomeNet)</f>
        <v/>
      </c>
      <c r="F24" s="21">
        <f>IF(C24&gt;B24,"Over","On plan")</f>
        <v/>
      </c>
      <c r="G24" s="22" t="n">
        <v>0</v>
      </c>
    </row>
    <row r="25">
      <c r="A25" s="18" t="inlineStr">
        <is>
          <t>Joy / Fun</t>
        </is>
      </c>
      <c r="B25" s="12" t="n">
        <v>280</v>
      </c>
      <c r="C25" s="12" t="n">
        <v>295</v>
      </c>
      <c r="D25" s="19">
        <f>C25-B25</f>
        <v/>
      </c>
      <c r="E25" s="20">
        <f>IF(IncomeNet=0,0,C25/IncomeNet)</f>
        <v/>
      </c>
      <c r="F25" s="21">
        <f>IF(C25&gt;B25,"Over","On plan")</f>
        <v/>
      </c>
      <c r="G25" s="22" t="n">
        <v>0</v>
      </c>
    </row>
    <row r="26">
      <c r="A26" s="18" t="inlineStr">
        <is>
          <t>Giving</t>
        </is>
      </c>
      <c r="B26" s="12" t="n">
        <v>350</v>
      </c>
      <c r="C26" s="12" t="n">
        <v>350</v>
      </c>
      <c r="D26" s="19">
        <f>C26-B26</f>
        <v/>
      </c>
      <c r="E26" s="20">
        <f>IF(IncomeNet=0,0,C26/IncomeNet)</f>
        <v/>
      </c>
      <c r="F26" s="21">
        <f>IF(C26&gt;B26,"Over","On plan")</f>
        <v/>
      </c>
      <c r="G26" s="22" t="n">
        <v>0</v>
      </c>
    </row>
    <row r="27">
      <c r="A27" s="23" t="inlineStr">
        <is>
          <t xml:space="preserve">  Subtotal — Guilt-Free Spending</t>
        </is>
      </c>
      <c r="B27" s="24">
        <f>SUM(B24:B26)</f>
        <v/>
      </c>
      <c r="C27" s="24">
        <f>SUM(C24:C26)</f>
        <v/>
      </c>
      <c r="D27" s="24">
        <f>C27-B27</f>
        <v/>
      </c>
      <c r="E27" s="25">
        <f>IF(IncomeNet=0,0,C27/IncomeNet)</f>
        <v/>
      </c>
    </row>
    <row r="30">
      <c r="A30" s="30" t="inlineStr">
        <is>
          <t>Left to assign</t>
        </is>
      </c>
      <c r="C30" s="31">
        <f>IncomeNet-(C11+C16+C21+C27)</f>
        <v/>
      </c>
      <c r="D30" s="32">
        <f>IF(C30&lt;0,"Over-allocated",IF(C30=0,"Every dollar assigned ✓","Unassigned"))</f>
        <v/>
      </c>
    </row>
    <row r="31">
      <c r="A31" s="30" t="inlineStr">
        <is>
          <t>Savings rate</t>
        </is>
      </c>
      <c r="C31" s="33">
        <f>IF(IncomeNet=0,0,(C16+C21)/IncomeNet)</f>
        <v/>
      </c>
      <c r="D31" s="32" t="inlineStr">
        <is>
          <t>Investments + savings ÷ take-home</t>
        </is>
      </c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6">
    <mergeCell ref="A13:G13"/>
    <mergeCell ref="A1:G1"/>
    <mergeCell ref="A18:G18"/>
    <mergeCell ref="A4:G4"/>
    <mergeCell ref="A2:G2"/>
    <mergeCell ref="A23:G23"/>
  </mergeCells>
  <conditionalFormatting sqref="D5:D10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E5:E10">
    <cfRule type="dataBar" priority="3">
      <dataBar>
        <cfvo type="num" val="0"/>
        <cfvo type="num" val="0.5"/>
        <color rgb="00BCC8D8"/>
      </dataBar>
    </cfRule>
  </conditionalFormatting>
  <conditionalFormatting sqref="D14:D15">
    <cfRule type="cellIs" priority="4" operator="lessThan" dxfId="0">
      <formula>0</formula>
    </cfRule>
    <cfRule type="cellIs" priority="5" operator="greaterThan" dxfId="1">
      <formula>0</formula>
    </cfRule>
  </conditionalFormatting>
  <conditionalFormatting sqref="E14:E15">
    <cfRule type="dataBar" priority="6">
      <dataBar>
        <cfvo type="num" val="0"/>
        <cfvo type="num" val="0.5"/>
        <color rgb="00BCC8D8"/>
      </dataBar>
    </cfRule>
  </conditionalFormatting>
  <conditionalFormatting sqref="D19:D20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E19:E20">
    <cfRule type="dataBar" priority="9">
      <dataBar>
        <cfvo type="num" val="0"/>
        <cfvo type="num" val="0.5"/>
        <color rgb="00BCC8D8"/>
      </dataBar>
    </cfRule>
  </conditionalFormatting>
  <conditionalFormatting sqref="D24:D26">
    <cfRule type="cellIs" priority="10" operator="lessThan" dxfId="0">
      <formula>0</formula>
    </cfRule>
    <cfRule type="cellIs" priority="11" operator="greaterThan" dxfId="1">
      <formula>0</formula>
    </cfRule>
  </conditionalFormatting>
  <conditionalFormatting sqref="E24:E26">
    <cfRule type="dataBar" priority="12">
      <dataBar>
        <cfvo type="num" val="0"/>
        <cfvo type="num" val="0.5"/>
        <color rgb="00BCC8D8"/>
      </dataBar>
    </cfRule>
  </conditionalFormatting>
  <conditionalFormatting sqref="C30">
    <cfRule type="cellIs" priority="13" operator="lessThan" dxfId="2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3" customWidth="1" min="4" max="4"/>
    <col width="20" customWidth="1" min="5" max="5"/>
    <col width="16" customWidth="1" min="6" max="6"/>
  </cols>
  <sheetData>
    <row r="1" ht="26" customHeight="1">
      <c r="A1" s="1" t="inlineStr">
        <is>
          <t>Net Worth</t>
        </is>
      </c>
    </row>
    <row r="2" ht="18" customHeight="1">
      <c r="A2" s="2" t="inlineStr">
        <is>
          <t>What you own, minus what you owe.</t>
        </is>
      </c>
    </row>
    <row r="3" ht="20" customHeight="1">
      <c r="A3" s="26" t="inlineStr">
        <is>
          <t>ASSETS</t>
        </is>
      </c>
      <c r="B3" s="27" t="n"/>
      <c r="C3" s="27" t="n"/>
      <c r="E3" s="6" t="inlineStr">
        <is>
          <t>WHERE YOUR MONEY LIVES</t>
        </is>
      </c>
    </row>
    <row r="4">
      <c r="A4" s="15" t="inlineStr">
        <is>
          <t>Asset</t>
        </is>
      </c>
      <c r="B4" s="15" t="inlineStr">
        <is>
          <t>Value</t>
        </is>
      </c>
      <c r="C4" s="15" t="inlineStr">
        <is>
          <t>Location</t>
        </is>
      </c>
      <c r="E4" s="15" t="inlineStr">
        <is>
          <t>Location</t>
        </is>
      </c>
      <c r="F4" s="15" t="inlineStr">
        <is>
          <t>Total</t>
        </is>
      </c>
    </row>
    <row r="5">
      <c r="A5" s="34" t="inlineStr">
        <is>
          <t>401(k)</t>
        </is>
      </c>
      <c r="B5" s="35" t="n">
        <v>45000</v>
      </c>
      <c r="C5" s="36" t="inlineStr">
        <is>
          <t>Tax-advantaged</t>
        </is>
      </c>
      <c r="E5" s="37" t="inlineStr">
        <is>
          <t>Taxable</t>
        </is>
      </c>
      <c r="F5" s="38">
        <f>SUMIF($C$5:$C$12,E5,$B$5:$B$12)</f>
        <v/>
      </c>
    </row>
    <row r="6">
      <c r="A6" s="34" t="inlineStr">
        <is>
          <t>Roth IRA</t>
        </is>
      </c>
      <c r="B6" s="35" t="n">
        <v>22000</v>
      </c>
      <c r="C6" s="36" t="inlineStr">
        <is>
          <t>Tax-advantaged</t>
        </is>
      </c>
      <c r="E6" s="37" t="inlineStr">
        <is>
          <t>Tax-advantaged</t>
        </is>
      </c>
      <c r="F6" s="38">
        <f>SUMIF($C$5:$C$12,E6,$B$5:$B$12)</f>
        <v/>
      </c>
    </row>
    <row r="7">
      <c r="A7" s="34" t="inlineStr">
        <is>
          <t>Brokerage</t>
        </is>
      </c>
      <c r="B7" s="35" t="n">
        <v>18000</v>
      </c>
      <c r="C7" s="36" t="inlineStr">
        <is>
          <t>Taxable</t>
        </is>
      </c>
      <c r="E7" s="37" t="inlineStr">
        <is>
          <t>Real estate</t>
        </is>
      </c>
      <c r="F7" s="38">
        <f>SUMIF($C$5:$C$12,E7,$B$5:$B$12)</f>
        <v/>
      </c>
    </row>
    <row r="8">
      <c r="A8" s="34" t="inlineStr">
        <is>
          <t>Home (market value)</t>
        </is>
      </c>
      <c r="B8" s="35" t="n">
        <v>320000</v>
      </c>
      <c r="C8" s="36" t="inlineStr">
        <is>
          <t>Real estate</t>
        </is>
      </c>
      <c r="E8" s="37" t="inlineStr">
        <is>
          <t>Business</t>
        </is>
      </c>
      <c r="F8" s="38">
        <f>SUMIF($C$5:$C$12,E8,$B$5:$B$12)</f>
        <v/>
      </c>
    </row>
    <row r="9">
      <c r="A9" s="34" t="inlineStr">
        <is>
          <t>Checking</t>
        </is>
      </c>
      <c r="B9" s="35" t="n">
        <v>6000</v>
      </c>
      <c r="C9" s="36" t="inlineStr">
        <is>
          <t>Cash</t>
        </is>
      </c>
      <c r="E9" s="37" t="inlineStr">
        <is>
          <t>Cash</t>
        </is>
      </c>
      <c r="F9" s="38">
        <f>SUMIF($C$5:$C$12,E9,$B$5:$B$12)</f>
        <v/>
      </c>
    </row>
    <row r="10">
      <c r="A10" s="34" t="inlineStr">
        <is>
          <t>Emergency savings</t>
        </is>
      </c>
      <c r="B10" s="35" t="n">
        <v>12000</v>
      </c>
      <c r="C10" s="36" t="inlineStr">
        <is>
          <t>Cash</t>
        </is>
      </c>
      <c r="E10" s="37" t="inlineStr">
        <is>
          <t>Other</t>
        </is>
      </c>
      <c r="F10" s="38">
        <f>SUMIF($C$5:$C$12,E10,$B$5:$B$12)</f>
        <v/>
      </c>
    </row>
    <row r="11">
      <c r="A11" s="34" t="inlineStr"/>
      <c r="B11" s="35" t="n"/>
      <c r="C11" s="36" t="inlineStr"/>
    </row>
    <row r="12">
      <c r="A12" s="34" t="inlineStr"/>
      <c r="B12" s="35" t="n"/>
      <c r="C12" s="36" t="inlineStr"/>
    </row>
    <row r="13">
      <c r="A13" s="23" t="inlineStr">
        <is>
          <t>Total assets</t>
        </is>
      </c>
      <c r="B13" s="39">
        <f>SUM(B5:B12)</f>
        <v/>
      </c>
    </row>
    <row r="15" ht="20" customHeight="1">
      <c r="A15" s="28" t="inlineStr">
        <is>
          <t>LIABILITIES</t>
        </is>
      </c>
      <c r="B15" s="29" t="n"/>
      <c r="C15" s="29" t="n"/>
    </row>
    <row r="16">
      <c r="A16" s="15" t="inlineStr">
        <is>
          <t>Liability</t>
        </is>
      </c>
      <c r="B16" s="15" t="inlineStr">
        <is>
          <t>Value</t>
        </is>
      </c>
    </row>
    <row r="17">
      <c r="A17" s="34" t="inlineStr">
        <is>
          <t>Mortgage</t>
        </is>
      </c>
      <c r="B17" s="35" t="n">
        <v>240000</v>
      </c>
    </row>
    <row r="18">
      <c r="A18" s="34" t="inlineStr">
        <is>
          <t>Car loan</t>
        </is>
      </c>
      <c r="B18" s="35" t="n">
        <v>9000</v>
      </c>
    </row>
    <row r="19">
      <c r="A19" s="34" t="inlineStr">
        <is>
          <t>Credit card</t>
        </is>
      </c>
      <c r="B19" s="35" t="n">
        <v>1500</v>
      </c>
    </row>
    <row r="20">
      <c r="A20" s="34" t="inlineStr"/>
      <c r="B20" s="35" t="n"/>
    </row>
    <row r="21">
      <c r="A21" s="34" t="inlineStr"/>
      <c r="B21" s="35" t="n"/>
    </row>
    <row r="22">
      <c r="A22" s="23" t="inlineStr">
        <is>
          <t>Total liabilities</t>
        </is>
      </c>
      <c r="B22" s="40">
        <f>SUM(B17:B21)</f>
        <v/>
      </c>
    </row>
    <row r="24">
      <c r="A24" s="30" t="inlineStr">
        <is>
          <t>NET WORTH</t>
        </is>
      </c>
      <c r="B24" s="41">
        <f>B13-B22</f>
        <v/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0" formatRows="1" sort="1"/>
  <mergeCells count="5">
    <mergeCell ref="A2:F2"/>
    <mergeCell ref="A1:F1"/>
    <mergeCell ref="A3:C3"/>
    <mergeCell ref="A15:C15"/>
    <mergeCell ref="E3:F3"/>
  </mergeCells>
  <dataValidations count="1">
    <dataValidation sqref="C5 C6 C7 C8 C9 C10 C11 C12" showDropDown="0" showInputMessage="0" showErrorMessage="0" allowBlank="1" type="list">
      <formula1>"Taxable,Tax-advantaged,Real estate,Business,Cash,Other"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 ht="26" customHeight="1">
      <c r="A1" s="1" t="inlineStr">
        <is>
          <t>Net Worth Log</t>
        </is>
      </c>
    </row>
    <row r="2" ht="18" customHeight="1">
      <c r="A2" s="2" t="inlineStr">
        <is>
          <t>Add one row each month. The chart tracks your growth.</t>
        </is>
      </c>
    </row>
    <row r="3">
      <c r="A3" s="15" t="inlineStr">
        <is>
          <t>Month</t>
        </is>
      </c>
      <c r="B3" s="15" t="inlineStr">
        <is>
          <t>Net worth</t>
        </is>
      </c>
    </row>
    <row r="4">
      <c r="A4" s="36" t="inlineStr">
        <is>
          <t>2026-01</t>
        </is>
      </c>
      <c r="B4" s="35" t="n">
        <v>178000</v>
      </c>
    </row>
    <row r="5">
      <c r="A5" s="36" t="inlineStr">
        <is>
          <t>2026-02</t>
        </is>
      </c>
      <c r="B5" s="35" t="n">
        <v>181500</v>
      </c>
    </row>
    <row r="6">
      <c r="A6" s="36" t="inlineStr">
        <is>
          <t>2026-03</t>
        </is>
      </c>
      <c r="B6" s="35" t="n">
        <v>184200</v>
      </c>
    </row>
    <row r="7">
      <c r="A7" s="36" t="inlineStr">
        <is>
          <t>2026-04</t>
        </is>
      </c>
      <c r="B7" s="35" t="n">
        <v>187900</v>
      </c>
    </row>
    <row r="8">
      <c r="A8" s="36" t="inlineStr">
        <is>
          <t>2026-05</t>
        </is>
      </c>
      <c r="B8" s="35" t="n">
        <v>190600</v>
      </c>
    </row>
    <row r="9">
      <c r="A9" s="36" t="inlineStr">
        <is>
          <t>2026-06</t>
        </is>
      </c>
      <c r="B9" s="35">
        <f>'Net Worth'!$B$24</f>
        <v/>
      </c>
    </row>
    <row r="10">
      <c r="A10" s="36" t="n"/>
      <c r="B10" s="35" t="n"/>
    </row>
    <row r="11">
      <c r="A11" s="36" t="n"/>
      <c r="B11" s="35" t="n"/>
    </row>
    <row r="12">
      <c r="A12" s="36" t="n"/>
      <c r="B12" s="35" t="n"/>
    </row>
    <row r="13">
      <c r="A13" s="36" t="n"/>
      <c r="B13" s="35" t="n"/>
    </row>
    <row r="14">
      <c r="A14" s="36" t="n"/>
      <c r="B14" s="35" t="n"/>
    </row>
    <row r="15">
      <c r="A15" s="36" t="n"/>
      <c r="B15" s="35" t="n"/>
    </row>
    <row r="16">
      <c r="A16" s="36" t="n"/>
      <c r="B16" s="35" t="n"/>
    </row>
    <row r="17">
      <c r="A17" s="36" t="n"/>
      <c r="B17" s="35" t="n"/>
    </row>
    <row r="18">
      <c r="A18" s="36" t="n"/>
      <c r="B18" s="35" t="n"/>
    </row>
    <row r="19">
      <c r="A19" s="36" t="n"/>
      <c r="B19" s="35" t="n"/>
    </row>
    <row r="20">
      <c r="A20" s="36" t="n"/>
      <c r="B20" s="35" t="n"/>
    </row>
    <row r="21">
      <c r="A21" s="36" t="n"/>
      <c r="B21" s="35" t="n"/>
    </row>
    <row r="22">
      <c r="A22" s="36" t="n"/>
      <c r="B22" s="35" t="n"/>
    </row>
    <row r="23">
      <c r="A23" s="36" t="n"/>
      <c r="B23" s="35" t="n"/>
    </row>
    <row r="24">
      <c r="A24" s="36" t="n"/>
      <c r="B24" s="35" t="n"/>
    </row>
    <row r="25">
      <c r="A25" s="36" t="n"/>
      <c r="B25" s="35" t="n"/>
    </row>
    <row r="26">
      <c r="A26" s="36" t="n"/>
      <c r="B26" s="35" t="n"/>
    </row>
    <row r="27">
      <c r="A27" s="36" t="n"/>
      <c r="B27" s="35" t="n"/>
    </row>
    <row r="28">
      <c r="A28" s="36" t="n"/>
      <c r="B28" s="35" t="n"/>
    </row>
    <row r="29">
      <c r="A29" s="36" t="n"/>
      <c r="B29" s="35" t="n"/>
    </row>
    <row r="30">
      <c r="A30" s="36" t="n"/>
      <c r="B30" s="35" t="n"/>
    </row>
    <row r="31">
      <c r="A31" s="36" t="n"/>
      <c r="B31" s="35" t="n"/>
    </row>
    <row r="32">
      <c r="A32" s="36" t="n"/>
      <c r="B32" s="35" t="n"/>
    </row>
    <row r="33">
      <c r="A33" s="36" t="n"/>
      <c r="B33" s="35" t="n"/>
    </row>
    <row r="34">
      <c r="A34" s="36" t="n"/>
      <c r="B34" s="35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0" formatRows="1" sort="1"/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C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0" customWidth="1" min="3" max="3"/>
  </cols>
  <sheetData>
    <row r="1" ht="26" customHeight="1">
      <c r="B1" s="1" t="inlineStr">
        <is>
          <t>Freedom Number</t>
        </is>
      </c>
    </row>
    <row r="2" ht="18" customHeight="1">
      <c r="B2" s="2" t="inlineStr">
        <is>
          <t>The amount that makes paid work optional.</t>
        </is>
      </c>
    </row>
    <row r="4" ht="24" customHeight="1">
      <c r="B4" s="8" t="inlineStr">
        <is>
          <t>Covered expenses (annual)</t>
        </is>
      </c>
      <c r="C4" s="10">
        <f>AnnualExpenses-PassiveIncome</f>
        <v/>
      </c>
    </row>
    <row r="5" ht="24" customHeight="1">
      <c r="B5" s="8" t="inlineStr">
        <is>
          <t>Freedom Number</t>
        </is>
      </c>
      <c r="C5" s="10">
        <f>(AnnualExpenses-PassiveIncome)*Multiplier</f>
        <v/>
      </c>
    </row>
    <row r="6" ht="24" customHeight="1">
      <c r="B6" s="8" t="inlineStr">
        <is>
          <t>Your net worth today</t>
        </is>
      </c>
      <c r="C6" s="10">
        <f>NetWorth</f>
        <v/>
      </c>
    </row>
    <row r="7" ht="24" customHeight="1">
      <c r="B7" s="8" t="inlineStr">
        <is>
          <t>Progress to freedom</t>
        </is>
      </c>
      <c r="C7" s="42">
        <f>IF(FreedomNumber=0,0,NetWorth/FreedomNumber)</f>
        <v/>
      </c>
    </row>
    <row r="8" ht="24" customHeight="1">
      <c r="B8" s="8" t="inlineStr">
        <is>
          <t>Gap remaining</t>
        </is>
      </c>
      <c r="C8" s="10">
        <f>MAX(FreedomNumber-NetWorth,0)</f>
        <v/>
      </c>
    </row>
    <row r="9" ht="24" customHeight="1">
      <c r="B9" s="8" t="inlineStr">
        <is>
          <t>Breathing asset base</t>
        </is>
      </c>
      <c r="C9" s="10">
        <f>BreatheMonthly*12*Multiplier</f>
        <v/>
      </c>
    </row>
    <row r="10" ht="24" customHeight="1">
      <c r="B10" s="8" t="inlineStr">
        <is>
          <t>Breathing progress</t>
        </is>
      </c>
      <c r="C10" s="42">
        <f>IF(BreatheMonthly=0,0,NetWorth/(BreatheMonthly*12*Multiplier))</f>
        <v/>
      </c>
    </row>
    <row r="12">
      <c r="B12" s="30" t="inlineStr">
        <is>
          <t>Five questions worth sitting with</t>
        </is>
      </c>
    </row>
    <row r="13" ht="20" customHeight="1">
      <c r="B13" s="4" t="inlineStr">
        <is>
          <t>1.  What would you do with your days if work were optional?</t>
        </is>
      </c>
    </row>
    <row r="14" ht="20" customHeight="1">
      <c r="B14" s="4" t="inlineStr">
        <is>
          <t>2.  What does “enough” actually look like for your life?</t>
        </is>
      </c>
    </row>
    <row r="15" ht="20" customHeight="1">
      <c r="B15" s="4" t="inlineStr">
        <is>
          <t>3.  Which expenses buy real joy — and which are just habit?</t>
        </is>
      </c>
    </row>
    <row r="16" ht="20" customHeight="1">
      <c r="B16" s="4" t="inlineStr">
        <is>
          <t>4.  What could you do now that your future self would thank you for?</t>
        </is>
      </c>
    </row>
    <row r="17" ht="20" customHeight="1">
      <c r="B17" s="4" t="inlineStr">
        <is>
          <t>5.  Who do you want to become on the way to this number?</t>
        </is>
      </c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7">
    <mergeCell ref="B13:C13"/>
    <mergeCell ref="B2:C2"/>
    <mergeCell ref="B16:C16"/>
    <mergeCell ref="B15:C15"/>
    <mergeCell ref="B14:C14"/>
    <mergeCell ref="B17:C17"/>
    <mergeCell ref="B1:C1"/>
  </mergeCells>
  <conditionalFormatting sqref="C7">
    <cfRule type="dataBar" priority="1">
      <dataBar>
        <cfvo type="num" val="0"/>
        <cfvo type="num" val="1"/>
        <color rgb="00E0C994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6" customWidth="1" min="3" max="3"/>
    <col width="15" customWidth="1" min="4" max="4"/>
    <col width="14" customWidth="1" min="5" max="5"/>
    <col width="16" customWidth="1" min="6" max="6"/>
    <col width="16" customWidth="1" min="8" max="8"/>
    <col width="22" customWidth="1" min="10" max="10"/>
    <col width="14" customWidth="1" min="11" max="11"/>
    <col width="16" customWidth="1" min="12" max="12"/>
  </cols>
  <sheetData>
    <row r="1" ht="26" customHeight="1">
      <c r="A1" s="1" t="inlineStr">
        <is>
          <t>Freedom Timeline</t>
        </is>
      </c>
    </row>
    <row r="2" ht="18" customHeight="1">
      <c r="A2" s="2" t="inlineStr">
        <is>
          <t>A 30-year projection. The honey row is the year work becomes optional.</t>
        </is>
      </c>
    </row>
    <row r="3">
      <c r="A3" s="15" t="inlineStr">
        <is>
          <t>Year</t>
        </is>
      </c>
      <c r="B3" s="15" t="inlineStr">
        <is>
          <t>Age</t>
        </is>
      </c>
      <c r="C3" s="15" t="inlineStr">
        <is>
          <t>Start balance</t>
        </is>
      </c>
      <c r="D3" s="15" t="inlineStr">
        <is>
          <t>Contributions</t>
        </is>
      </c>
      <c r="E3" s="15" t="inlineStr">
        <is>
          <t>Growth</t>
        </is>
      </c>
      <c r="F3" s="15" t="inlineStr">
        <is>
          <t>End balance</t>
        </is>
      </c>
      <c r="H3" s="43" t="inlineStr">
        <is>
          <t>Freedom Number</t>
        </is>
      </c>
      <c r="J3" s="6" t="inlineStr">
        <is>
          <t>WHAT IF…</t>
        </is>
      </c>
    </row>
    <row r="4">
      <c r="A4" s="44">
        <f>Year</f>
        <v/>
      </c>
      <c r="B4" s="44">
        <f>Age</f>
        <v/>
      </c>
      <c r="C4" s="38">
        <f>NetWorth</f>
        <v/>
      </c>
      <c r="D4" s="38">
        <f>MonthlyInvested*12</f>
        <v/>
      </c>
      <c r="E4" s="38">
        <f>F4-C4-D4</f>
        <v/>
      </c>
      <c r="F4" s="38">
        <f>FV(ReturnRate/100/12,12,-MonthlyInvested,-C4)</f>
        <v/>
      </c>
      <c r="H4" s="45">
        <f>FreedomNumber</f>
        <v/>
      </c>
      <c r="J4" s="8" t="inlineStr">
        <is>
          <t>Extra monthly invested</t>
        </is>
      </c>
      <c r="K4" s="12" t="n">
        <v>300</v>
      </c>
    </row>
    <row r="5">
      <c r="A5" s="44">
        <f>A4+1</f>
        <v/>
      </c>
      <c r="B5" s="44">
        <f>B4+1</f>
        <v/>
      </c>
      <c r="C5" s="38">
        <f>F4</f>
        <v/>
      </c>
      <c r="D5" s="38">
        <f>MonthlyInvested*12</f>
        <v/>
      </c>
      <c r="E5" s="38">
        <f>F5-C5-D5</f>
        <v/>
      </c>
      <c r="F5" s="38">
        <f>FV(ReturnRate/100/12,12,-MonthlyInvested,-C5)</f>
        <v/>
      </c>
      <c r="H5" s="45">
        <f>FreedomNumber</f>
        <v/>
      </c>
      <c r="J5" s="8" t="inlineStr">
        <is>
          <t>Higher annual return (%)</t>
        </is>
      </c>
      <c r="K5" s="14" t="n">
        <v>7</v>
      </c>
    </row>
    <row r="6">
      <c r="A6" s="44">
        <f>A5+1</f>
        <v/>
      </c>
      <c r="B6" s="44">
        <f>B5+1</f>
        <v/>
      </c>
      <c r="C6" s="38">
        <f>F5</f>
        <v/>
      </c>
      <c r="D6" s="38">
        <f>MonthlyInvested*12</f>
        <v/>
      </c>
      <c r="E6" s="38">
        <f>F6-C6-D6</f>
        <v/>
      </c>
      <c r="F6" s="38">
        <f>FV(ReturnRate/100/12,12,-MonthlyInvested,-C6)</f>
        <v/>
      </c>
      <c r="H6" s="45">
        <f>FreedomNumber</f>
        <v/>
      </c>
      <c r="J6" s="8" t="inlineStr">
        <is>
          <t>One-time lump sum now</t>
        </is>
      </c>
      <c r="K6" s="12" t="n">
        <v>10000</v>
      </c>
    </row>
    <row r="7">
      <c r="A7" s="44">
        <f>A6+1</f>
        <v/>
      </c>
      <c r="B7" s="44">
        <f>B6+1</f>
        <v/>
      </c>
      <c r="C7" s="38">
        <f>F6</f>
        <v/>
      </c>
      <c r="D7" s="38">
        <f>MonthlyInvested*12</f>
        <v/>
      </c>
      <c r="E7" s="38">
        <f>F7-C7-D7</f>
        <v/>
      </c>
      <c r="F7" s="38">
        <f>FV(ReturnRate/100/12,12,-MonthlyInvested,-C7)</f>
        <v/>
      </c>
      <c r="H7" s="45">
        <f>FreedomNumber</f>
        <v/>
      </c>
    </row>
    <row r="8">
      <c r="A8" s="44">
        <f>A7+1</f>
        <v/>
      </c>
      <c r="B8" s="44">
        <f>B7+1</f>
        <v/>
      </c>
      <c r="C8" s="38">
        <f>F7</f>
        <v/>
      </c>
      <c r="D8" s="38">
        <f>MonthlyInvested*12</f>
        <v/>
      </c>
      <c r="E8" s="38">
        <f>F8-C8-D8</f>
        <v/>
      </c>
      <c r="F8" s="38">
        <f>FV(ReturnRate/100/12,12,-MonthlyInvested,-C8)</f>
        <v/>
      </c>
      <c r="H8" s="45">
        <f>FreedomNumber</f>
        <v/>
      </c>
      <c r="J8" s="30" t="inlineStr">
        <is>
          <t>New work-optional year</t>
        </is>
      </c>
      <c r="K8" s="13">
        <f>IFERROR(Year+CEILING(NPER(K5/100/12,-(MonthlyInvested+K4),-(NetWorth+K6),FreedomNumber)/12,1),Year)</f>
        <v/>
      </c>
    </row>
    <row r="9">
      <c r="A9" s="44">
        <f>A8+1</f>
        <v/>
      </c>
      <c r="B9" s="44">
        <f>B8+1</f>
        <v/>
      </c>
      <c r="C9" s="38">
        <f>F8</f>
        <v/>
      </c>
      <c r="D9" s="38">
        <f>MonthlyInvested*12</f>
        <v/>
      </c>
      <c r="E9" s="38">
        <f>F9-C9-D9</f>
        <v/>
      </c>
      <c r="F9" s="38">
        <f>FV(ReturnRate/100/12,12,-MonthlyInvested,-C9)</f>
        <v/>
      </c>
      <c r="H9" s="45">
        <f>FreedomNumber</f>
        <v/>
      </c>
    </row>
    <row r="10">
      <c r="A10" s="44">
        <f>A9+1</f>
        <v/>
      </c>
      <c r="B10" s="44">
        <f>B9+1</f>
        <v/>
      </c>
      <c r="C10" s="38">
        <f>F9</f>
        <v/>
      </c>
      <c r="D10" s="38">
        <f>MonthlyInvested*12</f>
        <v/>
      </c>
      <c r="E10" s="38">
        <f>F10-C10-D10</f>
        <v/>
      </c>
      <c r="F10" s="38">
        <f>FV(ReturnRate/100/12,12,-MonthlyInvested,-C10)</f>
        <v/>
      </c>
      <c r="H10" s="45">
        <f>FreedomNumber</f>
        <v/>
      </c>
    </row>
    <row r="11">
      <c r="A11" s="44">
        <f>A10+1</f>
        <v/>
      </c>
      <c r="B11" s="44">
        <f>B10+1</f>
        <v/>
      </c>
      <c r="C11" s="38">
        <f>F10</f>
        <v/>
      </c>
      <c r="D11" s="38">
        <f>MonthlyInvested*12</f>
        <v/>
      </c>
      <c r="E11" s="38">
        <f>F11-C11-D11</f>
        <v/>
      </c>
      <c r="F11" s="38">
        <f>FV(ReturnRate/100/12,12,-MonthlyInvested,-C11)</f>
        <v/>
      </c>
      <c r="H11" s="45">
        <f>FreedomNumber</f>
        <v/>
      </c>
    </row>
    <row r="12">
      <c r="A12" s="44">
        <f>A11+1</f>
        <v/>
      </c>
      <c r="B12" s="44">
        <f>B11+1</f>
        <v/>
      </c>
      <c r="C12" s="38">
        <f>F11</f>
        <v/>
      </c>
      <c r="D12" s="38">
        <f>MonthlyInvested*12</f>
        <v/>
      </c>
      <c r="E12" s="38">
        <f>F12-C12-D12</f>
        <v/>
      </c>
      <c r="F12" s="38">
        <f>FV(ReturnRate/100/12,12,-MonthlyInvested,-C12)</f>
        <v/>
      </c>
      <c r="H12" s="45">
        <f>FreedomNumber</f>
        <v/>
      </c>
    </row>
    <row r="13">
      <c r="A13" s="44">
        <f>A12+1</f>
        <v/>
      </c>
      <c r="B13" s="44">
        <f>B12+1</f>
        <v/>
      </c>
      <c r="C13" s="38">
        <f>F12</f>
        <v/>
      </c>
      <c r="D13" s="38">
        <f>MonthlyInvested*12</f>
        <v/>
      </c>
      <c r="E13" s="38">
        <f>F13-C13-D13</f>
        <v/>
      </c>
      <c r="F13" s="38">
        <f>FV(ReturnRate/100/12,12,-MonthlyInvested,-C13)</f>
        <v/>
      </c>
      <c r="H13" s="45">
        <f>FreedomNumber</f>
        <v/>
      </c>
    </row>
    <row r="14">
      <c r="A14" s="44">
        <f>A13+1</f>
        <v/>
      </c>
      <c r="B14" s="44">
        <f>B13+1</f>
        <v/>
      </c>
      <c r="C14" s="38">
        <f>F13</f>
        <v/>
      </c>
      <c r="D14" s="38">
        <f>MonthlyInvested*12</f>
        <v/>
      </c>
      <c r="E14" s="38">
        <f>F14-C14-D14</f>
        <v/>
      </c>
      <c r="F14" s="38">
        <f>FV(ReturnRate/100/12,12,-MonthlyInvested,-C14)</f>
        <v/>
      </c>
      <c r="H14" s="45">
        <f>FreedomNumber</f>
        <v/>
      </c>
    </row>
    <row r="15">
      <c r="A15" s="44">
        <f>A14+1</f>
        <v/>
      </c>
      <c r="B15" s="44">
        <f>B14+1</f>
        <v/>
      </c>
      <c r="C15" s="38">
        <f>F14</f>
        <v/>
      </c>
      <c r="D15" s="38">
        <f>MonthlyInvested*12</f>
        <v/>
      </c>
      <c r="E15" s="38">
        <f>F15-C15-D15</f>
        <v/>
      </c>
      <c r="F15" s="38">
        <f>FV(ReturnRate/100/12,12,-MonthlyInvested,-C15)</f>
        <v/>
      </c>
      <c r="H15" s="45">
        <f>FreedomNumber</f>
        <v/>
      </c>
    </row>
    <row r="16">
      <c r="A16" s="44">
        <f>A15+1</f>
        <v/>
      </c>
      <c r="B16" s="44">
        <f>B15+1</f>
        <v/>
      </c>
      <c r="C16" s="38">
        <f>F15</f>
        <v/>
      </c>
      <c r="D16" s="38">
        <f>MonthlyInvested*12</f>
        <v/>
      </c>
      <c r="E16" s="38">
        <f>F16-C16-D16</f>
        <v/>
      </c>
      <c r="F16" s="38">
        <f>FV(ReturnRate/100/12,12,-MonthlyInvested,-C16)</f>
        <v/>
      </c>
      <c r="H16" s="45">
        <f>FreedomNumber</f>
        <v/>
      </c>
    </row>
    <row r="17">
      <c r="A17" s="44">
        <f>A16+1</f>
        <v/>
      </c>
      <c r="B17" s="44">
        <f>B16+1</f>
        <v/>
      </c>
      <c r="C17" s="38">
        <f>F16</f>
        <v/>
      </c>
      <c r="D17" s="38">
        <f>MonthlyInvested*12</f>
        <v/>
      </c>
      <c r="E17" s="38">
        <f>F17-C17-D17</f>
        <v/>
      </c>
      <c r="F17" s="38">
        <f>FV(ReturnRate/100/12,12,-MonthlyInvested,-C17)</f>
        <v/>
      </c>
      <c r="H17" s="45">
        <f>FreedomNumber</f>
        <v/>
      </c>
    </row>
    <row r="18">
      <c r="A18" s="44">
        <f>A17+1</f>
        <v/>
      </c>
      <c r="B18" s="44">
        <f>B17+1</f>
        <v/>
      </c>
      <c r="C18" s="38">
        <f>F17</f>
        <v/>
      </c>
      <c r="D18" s="38">
        <f>MonthlyInvested*12</f>
        <v/>
      </c>
      <c r="E18" s="38">
        <f>F18-C18-D18</f>
        <v/>
      </c>
      <c r="F18" s="38">
        <f>FV(ReturnRate/100/12,12,-MonthlyInvested,-C18)</f>
        <v/>
      </c>
      <c r="H18" s="45">
        <f>FreedomNumber</f>
        <v/>
      </c>
    </row>
    <row r="19">
      <c r="A19" s="44">
        <f>A18+1</f>
        <v/>
      </c>
      <c r="B19" s="44">
        <f>B18+1</f>
        <v/>
      </c>
      <c r="C19" s="38">
        <f>F18</f>
        <v/>
      </c>
      <c r="D19" s="38">
        <f>MonthlyInvested*12</f>
        <v/>
      </c>
      <c r="E19" s="38">
        <f>F19-C19-D19</f>
        <v/>
      </c>
      <c r="F19" s="38">
        <f>FV(ReturnRate/100/12,12,-MonthlyInvested,-C19)</f>
        <v/>
      </c>
      <c r="H19" s="45">
        <f>FreedomNumber</f>
        <v/>
      </c>
    </row>
    <row r="20">
      <c r="A20" s="44">
        <f>A19+1</f>
        <v/>
      </c>
      <c r="B20" s="44">
        <f>B19+1</f>
        <v/>
      </c>
      <c r="C20" s="38">
        <f>F19</f>
        <v/>
      </c>
      <c r="D20" s="38">
        <f>MonthlyInvested*12</f>
        <v/>
      </c>
      <c r="E20" s="38">
        <f>F20-C20-D20</f>
        <v/>
      </c>
      <c r="F20" s="38">
        <f>FV(ReturnRate/100/12,12,-MonthlyInvested,-C20)</f>
        <v/>
      </c>
      <c r="H20" s="45">
        <f>FreedomNumber</f>
        <v/>
      </c>
    </row>
    <row r="21">
      <c r="A21" s="44">
        <f>A20+1</f>
        <v/>
      </c>
      <c r="B21" s="44">
        <f>B20+1</f>
        <v/>
      </c>
      <c r="C21" s="38">
        <f>F20</f>
        <v/>
      </c>
      <c r="D21" s="38">
        <f>MonthlyInvested*12</f>
        <v/>
      </c>
      <c r="E21" s="38">
        <f>F21-C21-D21</f>
        <v/>
      </c>
      <c r="F21" s="38">
        <f>FV(ReturnRate/100/12,12,-MonthlyInvested,-C21)</f>
        <v/>
      </c>
      <c r="H21" s="45">
        <f>FreedomNumber</f>
        <v/>
      </c>
    </row>
    <row r="22">
      <c r="A22" s="44">
        <f>A21+1</f>
        <v/>
      </c>
      <c r="B22" s="44">
        <f>B21+1</f>
        <v/>
      </c>
      <c r="C22" s="38">
        <f>F21</f>
        <v/>
      </c>
      <c r="D22" s="38">
        <f>MonthlyInvested*12</f>
        <v/>
      </c>
      <c r="E22" s="38">
        <f>F22-C22-D22</f>
        <v/>
      </c>
      <c r="F22" s="38">
        <f>FV(ReturnRate/100/12,12,-MonthlyInvested,-C22)</f>
        <v/>
      </c>
      <c r="H22" s="45">
        <f>FreedomNumber</f>
        <v/>
      </c>
    </row>
    <row r="23">
      <c r="A23" s="44">
        <f>A22+1</f>
        <v/>
      </c>
      <c r="B23" s="44">
        <f>B22+1</f>
        <v/>
      </c>
      <c r="C23" s="38">
        <f>F22</f>
        <v/>
      </c>
      <c r="D23" s="38">
        <f>MonthlyInvested*12</f>
        <v/>
      </c>
      <c r="E23" s="38">
        <f>F23-C23-D23</f>
        <v/>
      </c>
      <c r="F23" s="38">
        <f>FV(ReturnRate/100/12,12,-MonthlyInvested,-C23)</f>
        <v/>
      </c>
      <c r="H23" s="45">
        <f>FreedomNumber</f>
        <v/>
      </c>
    </row>
    <row r="24">
      <c r="A24" s="44">
        <f>A23+1</f>
        <v/>
      </c>
      <c r="B24" s="44">
        <f>B23+1</f>
        <v/>
      </c>
      <c r="C24" s="38">
        <f>F23</f>
        <v/>
      </c>
      <c r="D24" s="38">
        <f>MonthlyInvested*12</f>
        <v/>
      </c>
      <c r="E24" s="38">
        <f>F24-C24-D24</f>
        <v/>
      </c>
      <c r="F24" s="38">
        <f>FV(ReturnRate/100/12,12,-MonthlyInvested,-C24)</f>
        <v/>
      </c>
      <c r="H24" s="45">
        <f>FreedomNumber</f>
        <v/>
      </c>
    </row>
    <row r="25">
      <c r="A25" s="44">
        <f>A24+1</f>
        <v/>
      </c>
      <c r="B25" s="44">
        <f>B24+1</f>
        <v/>
      </c>
      <c r="C25" s="38">
        <f>F24</f>
        <v/>
      </c>
      <c r="D25" s="38">
        <f>MonthlyInvested*12</f>
        <v/>
      </c>
      <c r="E25" s="38">
        <f>F25-C25-D25</f>
        <v/>
      </c>
      <c r="F25" s="38">
        <f>FV(ReturnRate/100/12,12,-MonthlyInvested,-C25)</f>
        <v/>
      </c>
      <c r="H25" s="45">
        <f>FreedomNumber</f>
        <v/>
      </c>
    </row>
    <row r="26">
      <c r="A26" s="44">
        <f>A25+1</f>
        <v/>
      </c>
      <c r="B26" s="44">
        <f>B25+1</f>
        <v/>
      </c>
      <c r="C26" s="38">
        <f>F25</f>
        <v/>
      </c>
      <c r="D26" s="38">
        <f>MonthlyInvested*12</f>
        <v/>
      </c>
      <c r="E26" s="38">
        <f>F26-C26-D26</f>
        <v/>
      </c>
      <c r="F26" s="38">
        <f>FV(ReturnRate/100/12,12,-MonthlyInvested,-C26)</f>
        <v/>
      </c>
      <c r="H26" s="45">
        <f>FreedomNumber</f>
        <v/>
      </c>
    </row>
    <row r="27">
      <c r="A27" s="44">
        <f>A26+1</f>
        <v/>
      </c>
      <c r="B27" s="44">
        <f>B26+1</f>
        <v/>
      </c>
      <c r="C27" s="38">
        <f>F26</f>
        <v/>
      </c>
      <c r="D27" s="38">
        <f>MonthlyInvested*12</f>
        <v/>
      </c>
      <c r="E27" s="38">
        <f>F27-C27-D27</f>
        <v/>
      </c>
      <c r="F27" s="38">
        <f>FV(ReturnRate/100/12,12,-MonthlyInvested,-C27)</f>
        <v/>
      </c>
      <c r="H27" s="45">
        <f>FreedomNumber</f>
        <v/>
      </c>
    </row>
    <row r="28">
      <c r="A28" s="44">
        <f>A27+1</f>
        <v/>
      </c>
      <c r="B28" s="44">
        <f>B27+1</f>
        <v/>
      </c>
      <c r="C28" s="38">
        <f>F27</f>
        <v/>
      </c>
      <c r="D28" s="38">
        <f>MonthlyInvested*12</f>
        <v/>
      </c>
      <c r="E28" s="38">
        <f>F28-C28-D28</f>
        <v/>
      </c>
      <c r="F28" s="38">
        <f>FV(ReturnRate/100/12,12,-MonthlyInvested,-C28)</f>
        <v/>
      </c>
      <c r="H28" s="45">
        <f>FreedomNumber</f>
        <v/>
      </c>
    </row>
    <row r="29">
      <c r="A29" s="44">
        <f>A28+1</f>
        <v/>
      </c>
      <c r="B29" s="44">
        <f>B28+1</f>
        <v/>
      </c>
      <c r="C29" s="38">
        <f>F28</f>
        <v/>
      </c>
      <c r="D29" s="38">
        <f>MonthlyInvested*12</f>
        <v/>
      </c>
      <c r="E29" s="38">
        <f>F29-C29-D29</f>
        <v/>
      </c>
      <c r="F29" s="38">
        <f>FV(ReturnRate/100/12,12,-MonthlyInvested,-C29)</f>
        <v/>
      </c>
      <c r="H29" s="45">
        <f>FreedomNumber</f>
        <v/>
      </c>
    </row>
    <row r="30">
      <c r="A30" s="44">
        <f>A29+1</f>
        <v/>
      </c>
      <c r="B30" s="44">
        <f>B29+1</f>
        <v/>
      </c>
      <c r="C30" s="38">
        <f>F29</f>
        <v/>
      </c>
      <c r="D30" s="38">
        <f>MonthlyInvested*12</f>
        <v/>
      </c>
      <c r="E30" s="38">
        <f>F30-C30-D30</f>
        <v/>
      </c>
      <c r="F30" s="38">
        <f>FV(ReturnRate/100/12,12,-MonthlyInvested,-C30)</f>
        <v/>
      </c>
      <c r="H30" s="45">
        <f>FreedomNumber</f>
        <v/>
      </c>
    </row>
    <row r="31">
      <c r="A31" s="44">
        <f>A30+1</f>
        <v/>
      </c>
      <c r="B31" s="44">
        <f>B30+1</f>
        <v/>
      </c>
      <c r="C31" s="38">
        <f>F30</f>
        <v/>
      </c>
      <c r="D31" s="38">
        <f>MonthlyInvested*12</f>
        <v/>
      </c>
      <c r="E31" s="38">
        <f>F31-C31-D31</f>
        <v/>
      </c>
      <c r="F31" s="38">
        <f>FV(ReturnRate/100/12,12,-MonthlyInvested,-C31)</f>
        <v/>
      </c>
      <c r="H31" s="45">
        <f>FreedomNumber</f>
        <v/>
      </c>
    </row>
    <row r="32">
      <c r="A32" s="44">
        <f>A31+1</f>
        <v/>
      </c>
      <c r="B32" s="44">
        <f>B31+1</f>
        <v/>
      </c>
      <c r="C32" s="38">
        <f>F31</f>
        <v/>
      </c>
      <c r="D32" s="38">
        <f>MonthlyInvested*12</f>
        <v/>
      </c>
      <c r="E32" s="38">
        <f>F32-C32-D32</f>
        <v/>
      </c>
      <c r="F32" s="38">
        <f>FV(ReturnRate/100/12,12,-MonthlyInvested,-C32)</f>
        <v/>
      </c>
      <c r="H32" s="45">
        <f>FreedomNumber</f>
        <v/>
      </c>
    </row>
    <row r="33">
      <c r="A33" s="44">
        <f>A32+1</f>
        <v/>
      </c>
      <c r="B33" s="44">
        <f>B32+1</f>
        <v/>
      </c>
      <c r="C33" s="38">
        <f>F32</f>
        <v/>
      </c>
      <c r="D33" s="38">
        <f>MonthlyInvested*12</f>
        <v/>
      </c>
      <c r="E33" s="38">
        <f>F33-C33-D33</f>
        <v/>
      </c>
      <c r="F33" s="38">
        <f>FV(ReturnRate/100/12,12,-MonthlyInvested,-C33)</f>
        <v/>
      </c>
      <c r="H33" s="45">
        <f>FreedomNumber</f>
        <v/>
      </c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3">
    <mergeCell ref="A2:F2"/>
    <mergeCell ref="J3:L3"/>
    <mergeCell ref="A1:F1"/>
  </mergeCells>
  <conditionalFormatting sqref="A4:F33">
    <cfRule type="expression" priority="1" dxfId="3" stopIfTrue="0">
      <formula>AND($F4&gt;=FreedomNumber,$C4&lt;FreedomNumber)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9" customWidth="1" min="3" max="3"/>
    <col width="12" customWidth="1" min="4" max="4"/>
    <col width="16" customWidth="1" min="5" max="5"/>
    <col width="18" customWidth="1" min="6" max="6"/>
    <col width="12" customWidth="1" min="7" max="7"/>
    <col width="15" customWidth="1" min="8" max="8"/>
    <col width="20" customWidth="1" min="9" max="9"/>
  </cols>
  <sheetData>
    <row r="1" ht="26" customHeight="1">
      <c r="A1" s="1" t="inlineStr">
        <is>
          <t>Debts</t>
        </is>
      </c>
    </row>
    <row r="2" ht="18" customHeight="1">
      <c r="A2" s="2" t="inlineStr">
        <is>
          <t>Payoff timelines — and what an extra $200/mo buys you.</t>
        </is>
      </c>
    </row>
    <row r="3">
      <c r="A3" s="15" t="inlineStr">
        <is>
          <t>Debt</t>
        </is>
      </c>
      <c r="B3" s="15" t="inlineStr">
        <is>
          <t>Balance</t>
        </is>
      </c>
      <c r="C3" s="15" t="inlineStr">
        <is>
          <t>APR %</t>
        </is>
      </c>
      <c r="D3" s="15" t="inlineStr">
        <is>
          <t>Payment</t>
        </is>
      </c>
      <c r="E3" s="15" t="inlineStr">
        <is>
          <t>Months to payoff</t>
        </is>
      </c>
      <c r="F3" s="15" t="inlineStr">
        <is>
          <t>Interest remaining</t>
        </is>
      </c>
      <c r="G3" s="15" t="inlineStr">
        <is>
          <t>Payoff year</t>
        </is>
      </c>
      <c r="H3" s="15" t="inlineStr">
        <is>
          <t>Months (+$200)</t>
        </is>
      </c>
      <c r="I3" s="15" t="inlineStr">
        <is>
          <t>Interest saved (+$200)</t>
        </is>
      </c>
    </row>
    <row r="4">
      <c r="A4" s="34" t="inlineStr">
        <is>
          <t>Credit card</t>
        </is>
      </c>
      <c r="B4" s="35" t="n">
        <v>1500</v>
      </c>
      <c r="C4" s="46" t="n">
        <v>22</v>
      </c>
      <c r="D4" s="35" t="n">
        <v>150</v>
      </c>
      <c r="E4" s="47">
        <f>IFERROR(ROUNDUP(NPER(C4/100/12,-D4,B4),0),"—")</f>
        <v/>
      </c>
      <c r="F4" s="38">
        <f>IF(ISNUMBER(E4),D4*E4-B4,"—")</f>
        <v/>
      </c>
      <c r="G4" s="47">
        <f>IF(ISNUMBER(E4),Year+ROUNDUP(E4/12,0),"—")</f>
        <v/>
      </c>
      <c r="H4" s="47">
        <f>IFERROR(ROUNDUP(NPER(C4/100/12,-(D4+200),B4),0),"—")</f>
        <v/>
      </c>
      <c r="I4" s="38">
        <f>IF(AND(ISNUMBER(E4),ISNUMBER(H4)),F4-((D4+200)*H4-B4),"—")</f>
        <v/>
      </c>
    </row>
    <row r="5">
      <c r="A5" s="34" t="inlineStr">
        <is>
          <t>Car loan</t>
        </is>
      </c>
      <c r="B5" s="35" t="n">
        <v>9000</v>
      </c>
      <c r="C5" s="46" t="n">
        <v>6</v>
      </c>
      <c r="D5" s="35" t="n">
        <v>380</v>
      </c>
      <c r="E5" s="47">
        <f>IFERROR(ROUNDUP(NPER(C5/100/12,-D5,B5),0),"—")</f>
        <v/>
      </c>
      <c r="F5" s="38">
        <f>IF(ISNUMBER(E5),D5*E5-B5,"—")</f>
        <v/>
      </c>
      <c r="G5" s="47">
        <f>IF(ISNUMBER(E5),Year+ROUNDUP(E5/12,0),"—")</f>
        <v/>
      </c>
      <c r="H5" s="47">
        <f>IFERROR(ROUNDUP(NPER(C5/100/12,-(D5+200),B5),0),"—")</f>
        <v/>
      </c>
      <c r="I5" s="38">
        <f>IF(AND(ISNUMBER(E5),ISNUMBER(H5)),F5-((D5+200)*H5-B5),"—")</f>
        <v/>
      </c>
    </row>
    <row r="6">
      <c r="A6" s="34" t="inlineStr">
        <is>
          <t>Student loan</t>
        </is>
      </c>
      <c r="B6" s="35" t="n">
        <v>12000</v>
      </c>
      <c r="C6" s="46" t="n">
        <v>5</v>
      </c>
      <c r="D6" s="35" t="n">
        <v>200</v>
      </c>
      <c r="E6" s="47">
        <f>IFERROR(ROUNDUP(NPER(C6/100/12,-D6,B6),0),"—")</f>
        <v/>
      </c>
      <c r="F6" s="38">
        <f>IF(ISNUMBER(E6),D6*E6-B6,"—")</f>
        <v/>
      </c>
      <c r="G6" s="47">
        <f>IF(ISNUMBER(E6),Year+ROUNDUP(E6/12,0),"—")</f>
        <v/>
      </c>
      <c r="H6" s="47">
        <f>IFERROR(ROUNDUP(NPER(C6/100/12,-(D6+200),B6),0),"—")</f>
        <v/>
      </c>
      <c r="I6" s="38">
        <f>IF(AND(ISNUMBER(E6),ISNUMBER(H6)),F6-((D6+200)*H6-B6),"—")</f>
        <v/>
      </c>
    </row>
    <row r="7">
      <c r="A7" s="34" t="inlineStr"/>
      <c r="B7" s="35" t="n"/>
      <c r="C7" s="46" t="n"/>
      <c r="D7" s="35" t="n"/>
      <c r="E7" s="47">
        <f>IFERROR(ROUNDUP(NPER(C7/100/12,-D7,B7),0),"—")</f>
        <v/>
      </c>
      <c r="F7" s="38">
        <f>IF(ISNUMBER(E7),D7*E7-B7,"—")</f>
        <v/>
      </c>
      <c r="G7" s="47">
        <f>IF(ISNUMBER(E7),Year+ROUNDUP(E7/12,0),"—")</f>
        <v/>
      </c>
      <c r="H7" s="47">
        <f>IFERROR(ROUNDUP(NPER(C7/100/12,-(D7+200),B7),0),"—")</f>
        <v/>
      </c>
      <c r="I7" s="38">
        <f>IF(AND(ISNUMBER(E7),ISNUMBER(H7)),F7-((D7+200)*H7-B7),"—")</f>
        <v/>
      </c>
    </row>
    <row r="8">
      <c r="A8" s="34" t="inlineStr"/>
      <c r="B8" s="35" t="n"/>
      <c r="C8" s="46" t="n"/>
      <c r="D8" s="35" t="n"/>
      <c r="E8" s="47">
        <f>IFERROR(ROUNDUP(NPER(C8/100/12,-D8,B8),0),"—")</f>
        <v/>
      </c>
      <c r="F8" s="38">
        <f>IF(ISNUMBER(E8),D8*E8-B8,"—")</f>
        <v/>
      </c>
      <c r="G8" s="47">
        <f>IF(ISNUMBER(E8),Year+ROUNDUP(E8/12,0),"—")</f>
        <v/>
      </c>
      <c r="H8" s="47">
        <f>IFERROR(ROUNDUP(NPER(C8/100/12,-(D8+200),B8),0),"—")</f>
        <v/>
      </c>
      <c r="I8" s="38">
        <f>IF(AND(ISNUMBER(E8),ISNUMBER(H8)),F8-((D8+200)*H8-B8),"—")</f>
        <v/>
      </c>
    </row>
    <row r="9">
      <c r="A9" s="23" t="inlineStr">
        <is>
          <t>Total debt</t>
        </is>
      </c>
      <c r="B9" s="40">
        <f>SUM(B4:B8)</f>
        <v/>
      </c>
    </row>
    <row r="11">
      <c r="A11" s="5" t="inlineStr">
        <is>
          <t>Avalanche (highest APR first) saves the most interest; snowball (smallest balance first) gives faster wins. Pick the one you’ll stick with.</t>
        </is>
      </c>
    </row>
    <row r="12"/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3">
    <mergeCell ref="A1:I1"/>
    <mergeCell ref="A11:I12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C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1" ht="26" customHeight="1">
      <c r="B1" s="1" t="inlineStr">
        <is>
          <t>Annual Vision</t>
        </is>
      </c>
    </row>
    <row r="2" ht="18" customHeight="1">
      <c r="B2" s="2" t="inlineStr">
        <is>
          <t>Where you want this year to take you.</t>
        </is>
      </c>
    </row>
    <row r="4" ht="24" customHeight="1">
      <c r="B4" s="30" t="inlineStr">
        <is>
          <t>This year in one sentence</t>
        </is>
      </c>
    </row>
    <row r="5" ht="38" customHeight="1">
      <c r="B5" s="4" t="inlineStr">
        <is>
          <t>If this year goes beautifully, what's true by December?</t>
        </is>
      </c>
      <c r="C5" s="48" t="n"/>
    </row>
    <row r="6" ht="24" customHeight="1">
      <c r="B6" s="30" t="inlineStr">
        <is>
          <t>Money goals</t>
        </is>
      </c>
    </row>
    <row r="7" ht="38" customHeight="1">
      <c r="B7" s="4" t="inlineStr">
        <is>
          <t>Top 3 financial goals for the year:</t>
        </is>
      </c>
      <c r="C7" s="48" t="n"/>
    </row>
    <row r="8" ht="38" customHeight="1">
      <c r="B8" s="4" t="inlineStr">
        <is>
          <t>What will you stop spending on?</t>
        </is>
      </c>
      <c r="C8" s="48" t="n"/>
    </row>
    <row r="9" ht="38" customHeight="1">
      <c r="B9" s="4" t="inlineStr">
        <is>
          <t>What will you happily spend more on?</t>
        </is>
      </c>
      <c r="C9" s="48" t="n"/>
    </row>
    <row r="10" ht="24" customHeight="1">
      <c r="B10" s="30" t="inlineStr">
        <is>
          <t>Life goals</t>
        </is>
      </c>
    </row>
    <row r="11" ht="38" customHeight="1">
      <c r="B11" s="4" t="inlineStr">
        <is>
          <t>Experiences you want to have:</t>
        </is>
      </c>
      <c r="C11" s="48" t="n"/>
    </row>
    <row r="12" ht="38" customHeight="1">
      <c r="B12" s="4" t="inlineStr">
        <is>
          <t>Who you want to spend time with:</t>
        </is>
      </c>
      <c r="C12" s="48" t="n"/>
    </row>
    <row r="13" ht="38" customHeight="1">
      <c r="B13" s="4" t="inlineStr">
        <is>
          <t>A skill or habit to build:</t>
        </is>
      </c>
      <c r="C13" s="48" t="n"/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5">
    <mergeCell ref="B6:C6"/>
    <mergeCell ref="B2:C2"/>
    <mergeCell ref="B10:C10"/>
    <mergeCell ref="B1:C1"/>
    <mergeCell ref="B4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1" ht="26" customHeight="1">
      <c r="B1" s="1" t="inlineStr">
        <is>
          <t>Monthly Review</t>
        </is>
      </c>
    </row>
    <row r="2" ht="18" customHeight="1">
      <c r="B2" s="2" t="inlineStr">
        <is>
          <t>A 10-minute check-in, once a month.</t>
        </is>
      </c>
    </row>
    <row r="4" ht="24" customHeight="1">
      <c r="B4" s="30" t="inlineStr">
        <is>
          <t>Numbers</t>
        </is>
      </c>
    </row>
    <row r="5" ht="38" customHeight="1">
      <c r="B5" s="4" t="inlineStr">
        <is>
          <t>Did I hit my savings rate this month?</t>
        </is>
      </c>
      <c r="C5" s="48" t="n"/>
    </row>
    <row r="6" ht="38" customHeight="1">
      <c r="B6" s="4" t="inlineStr">
        <is>
          <t>Where did I overspend, and why?</t>
        </is>
      </c>
      <c r="C6" s="48" t="n"/>
    </row>
    <row r="7" ht="24" customHeight="1">
      <c r="B7" s="30" t="inlineStr">
        <is>
          <t>Reflection</t>
        </is>
      </c>
    </row>
    <row r="8" ht="38" customHeight="1">
      <c r="B8" s="4" t="inlineStr">
        <is>
          <t>What money decision am I proud of?</t>
        </is>
      </c>
      <c r="C8" s="48" t="n"/>
    </row>
    <row r="9" ht="38" customHeight="1">
      <c r="B9" s="4" t="inlineStr">
        <is>
          <t>What felt out of alignment?</t>
        </is>
      </c>
      <c r="C9" s="48" t="n"/>
    </row>
    <row r="10" ht="38" customHeight="1">
      <c r="B10" s="4" t="inlineStr">
        <is>
          <t>One change for next month:</t>
        </is>
      </c>
      <c r="C10" s="48" t="n"/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4">
    <mergeCell ref="B4:C4"/>
    <mergeCell ref="B1:C1"/>
    <mergeCell ref="B2:C2"/>
    <mergeCell ref="B7:C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1" ht="26" customHeight="1">
      <c r="B1" s="1" t="inlineStr">
        <is>
          <t>Quarterly Review</t>
        </is>
      </c>
    </row>
    <row r="2" ht="18" customHeight="1">
      <c r="B2" s="2" t="inlineStr">
        <is>
          <t>Zoom out every 90 days.</t>
        </is>
      </c>
    </row>
    <row r="4" ht="24" customHeight="1">
      <c r="B4" s="30" t="inlineStr">
        <is>
          <t>Progress</t>
        </is>
      </c>
    </row>
    <row r="5" ht="38" customHeight="1">
      <c r="B5" s="4" t="inlineStr">
        <is>
          <t>How much did net worth move this quarter?</t>
        </is>
      </c>
      <c r="C5" s="48" t="n"/>
    </row>
    <row r="6" ht="38" customHeight="1">
      <c r="B6" s="4" t="inlineStr">
        <is>
          <t>Am I on track for my work-optional year?</t>
        </is>
      </c>
      <c r="C6" s="48" t="n"/>
    </row>
    <row r="7" ht="24" customHeight="1">
      <c r="B7" s="30" t="inlineStr">
        <is>
          <t>Course-correct</t>
        </is>
      </c>
    </row>
    <row r="8" ht="38" customHeight="1">
      <c r="B8" s="4" t="inlineStr">
        <is>
          <t>What's working that I should do more of?</t>
        </is>
      </c>
      <c r="C8" s="48" t="n"/>
    </row>
    <row r="9" ht="38" customHeight="1">
      <c r="B9" s="4" t="inlineStr">
        <is>
          <t>What should I stop or change?</t>
        </is>
      </c>
      <c r="C9" s="48" t="n"/>
    </row>
    <row r="10" ht="38" customHeight="1">
      <c r="B10" s="4" t="inlineStr">
        <is>
          <t>Next quarter's single priority:</t>
        </is>
      </c>
      <c r="C10" s="48" t="n"/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4">
    <mergeCell ref="B4:C4"/>
    <mergeCell ref="B1:C1"/>
    <mergeCell ref="B2:C2"/>
    <mergeCell ref="B7:C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1" ht="26" customHeight="1">
      <c r="B1" s="1" t="inlineStr">
        <is>
          <t>Reflection Prompts</t>
        </is>
      </c>
    </row>
    <row r="2" ht="18" customHeight="1">
      <c r="B2" s="2" t="inlineStr">
        <is>
          <t>Open-ended prompts for when you need to think.</t>
        </is>
      </c>
    </row>
    <row r="4" ht="38" customHeight="1">
      <c r="B4" s="4" t="inlineStr">
        <is>
          <t>What does money mean to me, really?</t>
        </is>
      </c>
      <c r="C4" s="48" t="n"/>
    </row>
    <row r="5" ht="38" customHeight="1">
      <c r="B5" s="4" t="inlineStr">
        <is>
          <t>What's a 'enough' number that would let me breathe?</t>
        </is>
      </c>
      <c r="C5" s="48" t="n"/>
    </row>
    <row r="6" ht="38" customHeight="1">
      <c r="B6" s="4" t="inlineStr">
        <is>
          <t>What did money stress feel like this year — and what eased it?</t>
        </is>
      </c>
      <c r="C6" s="48" t="n"/>
    </row>
    <row r="7" ht="38" customHeight="1">
      <c r="B7" s="4" t="inlineStr">
        <is>
          <t>What would I do with an extra free day each week?</t>
        </is>
      </c>
      <c r="C7" s="48" t="n"/>
    </row>
    <row r="8" ht="38" customHeight="1">
      <c r="B8" s="4" t="inlineStr">
        <is>
          <t>What's one money story from childhood I'm ready to rewrite?</t>
        </is>
      </c>
      <c r="C8" s="48" t="n"/>
    </row>
    <row r="9" ht="38" customHeight="1">
      <c r="B9" s="4" t="inlineStr">
        <is>
          <t>Who do I want to be generous toward?</t>
        </is>
      </c>
      <c r="C9" s="48" t="n"/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2">
    <mergeCell ref="B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2026-06-29T18:49:22Z</dcterms:created>
  <dcterms:modified xsi:type="dcterms:W3CDTF">2026-06-29T18:49:23Z</dcterms:modified>
</cp:coreProperties>
</file>